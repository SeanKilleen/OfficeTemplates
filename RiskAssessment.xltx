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killeen\Documents\_Templates\"/>
    </mc:Choice>
  </mc:AlternateContent>
  <bookViews>
    <workbookView xWindow="0" yWindow="0" windowWidth="28800" windowHeight="13020"/>
  </bookViews>
  <sheets>
    <sheet name="Calculations" sheetId="1" r:id="rId1"/>
    <sheet name="Settings" sheetId="2" r:id="rId2"/>
  </sheets>
  <definedNames>
    <definedName name="Impacts">tblImpacts[Impact]</definedName>
    <definedName name="Probabilities">tblProbabilities[Probability]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2" l="1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P3" i="2"/>
  <c r="O3" i="2"/>
  <c r="N3" i="2"/>
  <c r="M3" i="2"/>
  <c r="L3" i="2"/>
  <c r="K8" i="2"/>
  <c r="K7" i="2"/>
  <c r="K6" i="2"/>
  <c r="K5" i="2"/>
  <c r="P5" i="2" s="1"/>
  <c r="G8" i="2" s="1"/>
  <c r="K4" i="2"/>
  <c r="P4" i="2" s="1"/>
  <c r="G5" i="2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M4" i="2" l="1"/>
  <c r="P6" i="2"/>
  <c r="G10" i="2" s="1"/>
  <c r="N4" i="2"/>
  <c r="G3" i="2" s="1"/>
  <c r="L4" i="2"/>
  <c r="O4" i="2"/>
  <c r="G4" i="2" s="1"/>
  <c r="N8" i="2"/>
  <c r="O6" i="2"/>
  <c r="G9" i="2" s="1"/>
  <c r="M8" i="2"/>
  <c r="O5" i="2"/>
  <c r="G7" i="2" s="1"/>
  <c r="N5" i="2"/>
  <c r="M5" i="2"/>
  <c r="P8" i="2"/>
  <c r="N7" i="2"/>
  <c r="L5" i="2"/>
  <c r="L7" i="2"/>
  <c r="L6" i="2"/>
  <c r="M6" i="2"/>
  <c r="N6" i="2"/>
  <c r="P7" i="2"/>
  <c r="G11" i="2" s="1"/>
  <c r="M7" i="2"/>
  <c r="O7" i="2"/>
  <c r="O8" i="2"/>
  <c r="L8" i="2"/>
  <c r="E10" i="1" l="1"/>
  <c r="E3" i="1"/>
  <c r="E25" i="1"/>
  <c r="E12" i="1"/>
  <c r="E5" i="1"/>
  <c r="E19" i="1"/>
  <c r="E14" i="1"/>
  <c r="E7" i="1"/>
  <c r="E20" i="1"/>
  <c r="E11" i="1"/>
  <c r="E21" i="1"/>
  <c r="E8" i="1"/>
  <c r="E22" i="1"/>
  <c r="E16" i="1"/>
  <c r="E13" i="1"/>
  <c r="E26" i="1"/>
  <c r="E24" i="1"/>
  <c r="E17" i="1"/>
  <c r="E15" i="1"/>
  <c r="E9" i="1"/>
  <c r="E18" i="1"/>
  <c r="E23" i="1"/>
  <c r="E6" i="1"/>
  <c r="E4" i="1"/>
</calcChain>
</file>

<file path=xl/sharedStrings.xml><?xml version="1.0" encoding="utf-8"?>
<sst xmlns="http://schemas.openxmlformats.org/spreadsheetml/2006/main" count="66" uniqueCount="40">
  <si>
    <t>Risk</t>
  </si>
  <si>
    <t>Probability</t>
  </si>
  <si>
    <t>Impact</t>
  </si>
  <si>
    <t>Risk Score</t>
  </si>
  <si>
    <t>Probabilities</t>
  </si>
  <si>
    <t>Impacts</t>
  </si>
  <si>
    <t>Almost Certain</t>
  </si>
  <si>
    <t>Likely</t>
  </si>
  <si>
    <t>Possible</t>
  </si>
  <si>
    <t>Unlikely</t>
  </si>
  <si>
    <t>Rare</t>
  </si>
  <si>
    <t>Severe</t>
  </si>
  <si>
    <t>Major</t>
  </si>
  <si>
    <t>Moderate</t>
  </si>
  <si>
    <t>Minor</t>
  </si>
  <si>
    <t>Marginal</t>
  </si>
  <si>
    <t>Score</t>
  </si>
  <si>
    <t>Action Required</t>
  </si>
  <si>
    <t>Showstopper; must mitigate</t>
  </si>
  <si>
    <t>Write Contingency Plan, prepare possible fallback actions</t>
  </si>
  <si>
    <t>Necessary Action</t>
  </si>
  <si>
    <t>5 - Almost Certain</t>
  </si>
  <si>
    <t>4 - Likely</t>
  </si>
  <si>
    <t>3 - Possible</t>
  </si>
  <si>
    <t>2 - Unlikely</t>
  </si>
  <si>
    <t>1 - Rare</t>
  </si>
  <si>
    <t>5 - Severe</t>
  </si>
  <si>
    <t>4 - Major</t>
  </si>
  <si>
    <t>3 - Moderate</t>
  </si>
  <si>
    <t>2 - Minor</t>
  </si>
  <si>
    <t>1 - Marginal</t>
  </si>
  <si>
    <t>Risk Assessment Matrix</t>
  </si>
  <si>
    <t>Reference Table</t>
  </si>
  <si>
    <t>Actions</t>
  </si>
  <si>
    <r>
      <rPr>
        <b/>
        <sz val="11"/>
        <color theme="1"/>
        <rFont val="Calibri"/>
        <family val="2"/>
        <scheme val="minor"/>
      </rPr>
      <t xml:space="preserve">Welcome to the Risk Assessment Matrix! </t>
    </r>
    <r>
      <rPr>
        <sz val="11"/>
        <color theme="1"/>
        <rFont val="Calibri"/>
        <family val="2"/>
        <scheme val="minor"/>
      </rPr>
      <t>To use the Matrix, enter your risk, and select the Probability (chance it will happen) and impact (severity of a problem if that risk actually happens). The matrix will calculate a result and suggest actions that must be taken.</t>
    </r>
  </si>
  <si>
    <t>Example Risk</t>
  </si>
  <si>
    <r>
      <t>Note:</t>
    </r>
    <r>
      <rPr>
        <sz val="11"/>
        <color theme="1"/>
        <rFont val="Calibri"/>
        <family val="2"/>
        <scheme val="minor"/>
      </rPr>
      <t xml:space="preserve"> These settings are all adjustable; see the "Settings" Sheet for more information.</t>
    </r>
  </si>
  <si>
    <t>Monitor</t>
  </si>
  <si>
    <t>Monitor &amp; Regular Review</t>
  </si>
  <si>
    <r>
      <t>Note:</t>
    </r>
    <r>
      <rPr>
        <sz val="11"/>
        <color theme="1"/>
        <rFont val="Calibri"/>
        <family val="2"/>
        <scheme val="minor"/>
      </rPr>
      <t xml:space="preserve"> After identifying your risks, it's helpful to determine a "leading indicator" for each risk to determine if the risk is occurring.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</si>
</sst>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2" borderId="1" applyNumberFormat="0" applyFont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right"/>
    </xf>
    <xf numFmtId="0" fontId="2" fillId="0" borderId="0" xfId="1" applyAlignment="1">
      <alignment horizontal="left"/>
    </xf>
    <xf numFmtId="0" fontId="3" fillId="0" borderId="0" xfId="0" applyFont="1" applyAlignment="1">
      <alignment horizontal="right"/>
    </xf>
    <xf numFmtId="0" fontId="2" fillId="0" borderId="0" xfId="1" applyAlignment="1"/>
    <xf numFmtId="0" fontId="0" fillId="2" borderId="2" xfId="2" applyFont="1" applyBorder="1" applyAlignment="1">
      <alignment horizontal="left" vertical="top" wrapText="1"/>
    </xf>
    <xf numFmtId="0" fontId="0" fillId="2" borderId="3" xfId="2" applyFont="1" applyBorder="1" applyAlignment="1">
      <alignment horizontal="left" vertical="top" wrapText="1"/>
    </xf>
    <xf numFmtId="0" fontId="0" fillId="2" borderId="4" xfId="2" applyFont="1" applyBorder="1" applyAlignment="1">
      <alignment horizontal="left" vertical="top" wrapText="1"/>
    </xf>
    <xf numFmtId="0" fontId="0" fillId="2" borderId="5" xfId="2" applyFont="1" applyBorder="1" applyAlignment="1">
      <alignment horizontal="left" vertical="top" wrapText="1"/>
    </xf>
    <xf numFmtId="0" fontId="0" fillId="2" borderId="0" xfId="2" applyFont="1" applyBorder="1" applyAlignment="1">
      <alignment horizontal="left" vertical="top" wrapText="1"/>
    </xf>
    <xf numFmtId="0" fontId="0" fillId="2" borderId="6" xfId="2" applyFont="1" applyBorder="1" applyAlignment="1">
      <alignment horizontal="left" vertical="top" wrapText="1"/>
    </xf>
    <xf numFmtId="0" fontId="0" fillId="2" borderId="7" xfId="2" applyFont="1" applyBorder="1" applyAlignment="1">
      <alignment horizontal="left" vertical="top" wrapText="1"/>
    </xf>
    <xf numFmtId="0" fontId="0" fillId="2" borderId="8" xfId="2" applyFont="1" applyBorder="1" applyAlignment="1">
      <alignment horizontal="left" vertical="top" wrapText="1"/>
    </xf>
    <xf numFmtId="0" fontId="0" fillId="2" borderId="9" xfId="2" applyFont="1" applyBorder="1" applyAlignment="1">
      <alignment horizontal="left" vertical="top" wrapText="1"/>
    </xf>
    <xf numFmtId="0" fontId="3" fillId="2" borderId="2" xfId="2" applyFont="1" applyBorder="1" applyAlignment="1">
      <alignment horizontal="left" vertical="top" wrapText="1"/>
    </xf>
    <xf numFmtId="0" fontId="3" fillId="2" borderId="3" xfId="2" applyFont="1" applyBorder="1" applyAlignment="1">
      <alignment horizontal="left" vertical="top" wrapText="1"/>
    </xf>
    <xf numFmtId="0" fontId="3" fillId="2" borderId="4" xfId="2" applyFont="1" applyBorder="1" applyAlignment="1">
      <alignment horizontal="left" vertical="top" wrapText="1"/>
    </xf>
    <xf numFmtId="0" fontId="3" fillId="2" borderId="7" xfId="2" applyFont="1" applyBorder="1" applyAlignment="1">
      <alignment horizontal="left" vertical="top" wrapText="1"/>
    </xf>
    <xf numFmtId="0" fontId="3" fillId="2" borderId="8" xfId="2" applyFont="1" applyBorder="1" applyAlignment="1">
      <alignment horizontal="left" vertical="top" wrapText="1"/>
    </xf>
    <xf numFmtId="0" fontId="3" fillId="2" borderId="9" xfId="2" applyFont="1" applyBorder="1" applyAlignment="1">
      <alignment horizontal="left" vertical="top" wrapText="1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</cellXfs>
  <cellStyles count="3">
    <cellStyle name="Normal" xfId="0" builtinId="0"/>
    <cellStyle name="Note" xfId="2" builtinId="10"/>
    <cellStyle name="Title" xfId="1" builtinId="15"/>
  </cellStyles>
  <dxfs count="30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2:E26" totalsRowShown="0">
  <autoFilter ref="A2:E26"/>
  <tableColumns count="5">
    <tableColumn id="1" name="Risk"/>
    <tableColumn id="2" name="Probability"/>
    <tableColumn id="3" name="Impact"/>
    <tableColumn id="4" name="Risk Score" dataDxfId="6">
      <calculatedColumnFormula>_xlfn.IFNA(ROUND(INDEX(tblProbabilities[Score], MATCH(B3,tblProbabilities[Probability],0)) * INDEX(tblImpacts[Score], MATCH(C3,tblImpacts[Impact],0)),2),"?")</calculatedColumnFormula>
    </tableColumn>
    <tableColumn id="5" name="Necessary Action">
      <calculatedColumnFormula>_xlfn.IFNA(INDEX(tblActions[Action Required], MATCH(D3,tblActions[Score],0)),IF(D3 = "?","Risk Undetermined", "No Action Required"))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Probabilities" displayName="tblProbabilities" ref="A2:B7" totalsRowShown="0">
  <autoFilter ref="A2:B7"/>
  <tableColumns count="2">
    <tableColumn id="1" name="Probability" dataDxfId="29"/>
    <tableColumn id="2" name="Score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Impacts" displayName="tblImpacts" ref="D2:E7" totalsRowShown="0">
  <autoFilter ref="D2:E7"/>
  <tableColumns count="2">
    <tableColumn id="1" name="Impact" dataDxfId="27"/>
    <tableColumn id="2" name="Score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blActions" displayName="tblActions" ref="G2:H28" totalsRowShown="0">
  <autoFilter ref="G2:H28"/>
  <tableColumns count="2">
    <tableColumn id="1" name="Score"/>
    <tableColumn id="2" name="Action Required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6"/>
  <sheetViews>
    <sheetView tabSelected="1" workbookViewId="0">
      <selection activeCell="L16" sqref="L16"/>
    </sheetView>
  </sheetViews>
  <sheetFormatPr defaultRowHeight="15" x14ac:dyDescent="0.25"/>
  <cols>
    <col min="1" max="1" width="39.28515625" customWidth="1"/>
    <col min="2" max="2" width="16.85546875" bestFit="1" customWidth="1"/>
    <col min="3" max="3" width="11.28515625" bestFit="1" customWidth="1"/>
    <col min="4" max="4" width="12.140625" bestFit="1" customWidth="1"/>
    <col min="5" max="5" width="53" bestFit="1" customWidth="1"/>
  </cols>
  <sheetData>
    <row r="1" spans="1:13" ht="23.25" x14ac:dyDescent="0.35">
      <c r="A1" s="7" t="s">
        <v>31</v>
      </c>
      <c r="B1" s="7"/>
      <c r="C1" s="7"/>
      <c r="D1" s="7"/>
      <c r="E1" s="7"/>
    </row>
    <row r="2" spans="1:13" ht="15" customHeight="1" x14ac:dyDescent="0.25">
      <c r="A2" t="s">
        <v>0</v>
      </c>
      <c r="B2" t="s">
        <v>1</v>
      </c>
      <c r="C2" t="s">
        <v>2</v>
      </c>
      <c r="D2" t="s">
        <v>3</v>
      </c>
      <c r="E2" t="s">
        <v>20</v>
      </c>
      <c r="G2" s="10" t="s">
        <v>34</v>
      </c>
      <c r="H2" s="11"/>
      <c r="I2" s="11"/>
      <c r="J2" s="11"/>
      <c r="K2" s="11"/>
      <c r="L2" s="11"/>
      <c r="M2" s="12"/>
    </row>
    <row r="3" spans="1:13" x14ac:dyDescent="0.25">
      <c r="A3" t="s">
        <v>35</v>
      </c>
      <c r="D3" s="4" t="str">
        <f>_xlfn.IFNA(ROUND(INDEX(tblProbabilities[Score], MATCH(B3,tblProbabilities[Probability],0)) * INDEX(tblImpacts[Score], MATCH(C3,tblImpacts[Impact],0)),2),"?")</f>
        <v>?</v>
      </c>
      <c r="E3" t="str">
        <f>_xlfn.IFNA(INDEX(tblActions[Action Required], MATCH(D3,tblActions[Score],0)),IF(D3 = "?","Risk Undetermined", "No Action Required"))</f>
        <v>Risk Undetermined</v>
      </c>
      <c r="G3" s="13"/>
      <c r="H3" s="14"/>
      <c r="I3" s="14"/>
      <c r="J3" s="14"/>
      <c r="K3" s="14"/>
      <c r="L3" s="14"/>
      <c r="M3" s="15"/>
    </row>
    <row r="4" spans="1:13" x14ac:dyDescent="0.25">
      <c r="D4" s="4" t="str">
        <f>_xlfn.IFNA(ROUND(INDEX(tblProbabilities[Score], MATCH(B4,tblProbabilities[Probability],0)) * INDEX(tblImpacts[Score], MATCH(C4,tblImpacts[Impact],0)),2),"?")</f>
        <v>?</v>
      </c>
      <c r="E4" t="str">
        <f>_xlfn.IFNA(INDEX(tblActions[Action Required], MATCH(D4,tblActions[Score],0)),IF(D4 = "?","Risk Undetermined", "No Action Required"))</f>
        <v>Risk Undetermined</v>
      </c>
      <c r="G4" s="13"/>
      <c r="H4" s="14"/>
      <c r="I4" s="14"/>
      <c r="J4" s="14"/>
      <c r="K4" s="14"/>
      <c r="L4" s="14"/>
      <c r="M4" s="15"/>
    </row>
    <row r="5" spans="1:13" x14ac:dyDescent="0.25">
      <c r="D5" s="4" t="str">
        <f>_xlfn.IFNA(ROUND(INDEX(tblProbabilities[Score], MATCH(B5,tblProbabilities[Probability],0)) * INDEX(tblImpacts[Score], MATCH(C5,tblImpacts[Impact],0)),2),"?")</f>
        <v>?</v>
      </c>
      <c r="E5" t="str">
        <f>_xlfn.IFNA(INDEX(tblActions[Action Required], MATCH(D5,tblActions[Score],0)),IF(D5 = "?","Risk Undetermined", "No Action Required"))</f>
        <v>Risk Undetermined</v>
      </c>
      <c r="G5" s="16"/>
      <c r="H5" s="17"/>
      <c r="I5" s="17"/>
      <c r="J5" s="17"/>
      <c r="K5" s="17"/>
      <c r="L5" s="17"/>
      <c r="M5" s="18"/>
    </row>
    <row r="6" spans="1:13" x14ac:dyDescent="0.25">
      <c r="D6" s="4" t="str">
        <f>_xlfn.IFNA(ROUND(INDEX(tblProbabilities[Score], MATCH(B6,tblProbabilities[Probability],0)) * INDEX(tblImpacts[Score], MATCH(C6,tblImpacts[Impact],0)),2),"?")</f>
        <v>?</v>
      </c>
      <c r="E6" t="str">
        <f>_xlfn.IFNA(INDEX(tblActions[Action Required], MATCH(D6,tblActions[Score],0)),IF(D6 = "?","Risk Undetermined", "No Action Required"))</f>
        <v>Risk Undetermined</v>
      </c>
    </row>
    <row r="7" spans="1:13" x14ac:dyDescent="0.25">
      <c r="D7" s="4" t="str">
        <f>_xlfn.IFNA(ROUND(INDEX(tblProbabilities[Score], MATCH(B7,tblProbabilities[Probability],0)) * INDEX(tblImpacts[Score], MATCH(C7,tblImpacts[Impact],0)),2),"?")</f>
        <v>?</v>
      </c>
      <c r="E7" t="str">
        <f>_xlfn.IFNA(INDEX(tblActions[Action Required], MATCH(D7,tblActions[Score],0)),IF(D7 = "?","Risk Undetermined", "No Action Required"))</f>
        <v>Risk Undetermined</v>
      </c>
      <c r="G7" s="19" t="s">
        <v>36</v>
      </c>
      <c r="H7" s="20"/>
      <c r="I7" s="20"/>
      <c r="J7" s="20"/>
      <c r="K7" s="20"/>
      <c r="L7" s="20"/>
      <c r="M7" s="21"/>
    </row>
    <row r="8" spans="1:13" x14ac:dyDescent="0.25">
      <c r="D8" s="4" t="str">
        <f>_xlfn.IFNA(ROUND(INDEX(tblProbabilities[Score], MATCH(B8,tblProbabilities[Probability],0)) * INDEX(tblImpacts[Score], MATCH(C8,tblImpacts[Impact],0)),2),"?")</f>
        <v>?</v>
      </c>
      <c r="E8" t="str">
        <f>_xlfn.IFNA(INDEX(tblActions[Action Required], MATCH(D8,tblActions[Score],0)),IF(D8 = "?","Risk Undetermined", "No Action Required"))</f>
        <v>Risk Undetermined</v>
      </c>
      <c r="G8" s="22"/>
      <c r="H8" s="23"/>
      <c r="I8" s="23"/>
      <c r="J8" s="23"/>
      <c r="K8" s="23"/>
      <c r="L8" s="23"/>
      <c r="M8" s="24"/>
    </row>
    <row r="9" spans="1:13" x14ac:dyDescent="0.25">
      <c r="D9" s="4" t="str">
        <f>_xlfn.IFNA(ROUND(INDEX(tblProbabilities[Score], MATCH(B9,tblProbabilities[Probability],0)) * INDEX(tblImpacts[Score], MATCH(C9,tblImpacts[Impact],0)),2),"?")</f>
        <v>?</v>
      </c>
      <c r="E9" t="str">
        <f>_xlfn.IFNA(INDEX(tblActions[Action Required], MATCH(D9,tblActions[Score],0)),IF(D9 = "?","Risk Undetermined", "No Action Required"))</f>
        <v>Risk Undetermined</v>
      </c>
    </row>
    <row r="10" spans="1:13" x14ac:dyDescent="0.25">
      <c r="D10" s="4" t="str">
        <f>_xlfn.IFNA(ROUND(INDEX(tblProbabilities[Score], MATCH(B10,tblProbabilities[Probability],0)) * INDEX(tblImpacts[Score], MATCH(C10,tblImpacts[Impact],0)),2),"?")</f>
        <v>?</v>
      </c>
      <c r="E10" t="str">
        <f>_xlfn.IFNA(INDEX(tblActions[Action Required], MATCH(D10,tblActions[Score],0)),IF(D10 = "?","Risk Undetermined", "No Action Required"))</f>
        <v>Risk Undetermined</v>
      </c>
      <c r="G10" s="19" t="s">
        <v>39</v>
      </c>
      <c r="H10" s="20"/>
      <c r="I10" s="20"/>
      <c r="J10" s="20"/>
      <c r="K10" s="20"/>
      <c r="L10" s="20"/>
      <c r="M10" s="21"/>
    </row>
    <row r="11" spans="1:13" x14ac:dyDescent="0.25">
      <c r="D11" s="4" t="str">
        <f>_xlfn.IFNA(ROUND(INDEX(tblProbabilities[Score], MATCH(B11,tblProbabilities[Probability],0)) * INDEX(tblImpacts[Score], MATCH(C11,tblImpacts[Impact],0)),2),"?")</f>
        <v>?</v>
      </c>
      <c r="E11" t="str">
        <f>_xlfn.IFNA(INDEX(tblActions[Action Required], MATCH(D11,tblActions[Score],0)),IF(D11 = "?","Risk Undetermined", "No Action Required"))</f>
        <v>Risk Undetermined</v>
      </c>
      <c r="G11" s="22"/>
      <c r="H11" s="23"/>
      <c r="I11" s="23"/>
      <c r="J11" s="23"/>
      <c r="K11" s="23"/>
      <c r="L11" s="23"/>
      <c r="M11" s="24"/>
    </row>
    <row r="12" spans="1:13" x14ac:dyDescent="0.25">
      <c r="D12" s="4" t="str">
        <f>_xlfn.IFNA(ROUND(INDEX(tblProbabilities[Score], MATCH(B12,tblProbabilities[Probability],0)) * INDEX(tblImpacts[Score], MATCH(C12,tblImpacts[Impact],0)),2),"?")</f>
        <v>?</v>
      </c>
      <c r="E12" t="str">
        <f>_xlfn.IFNA(INDEX(tblActions[Action Required], MATCH(D12,tblActions[Score],0)),IF(D12 = "?","Risk Undetermined", "No Action Required"))</f>
        <v>Risk Undetermined</v>
      </c>
    </row>
    <row r="13" spans="1:13" x14ac:dyDescent="0.25">
      <c r="D13" s="4" t="str">
        <f>_xlfn.IFNA(ROUND(INDEX(tblProbabilities[Score], MATCH(B13,tblProbabilities[Probability],0)) * INDEX(tblImpacts[Score], MATCH(C13,tblImpacts[Impact],0)),2),"?")</f>
        <v>?</v>
      </c>
      <c r="E13" t="str">
        <f>_xlfn.IFNA(INDEX(tblActions[Action Required], MATCH(D13,tblActions[Score],0)),IF(D13 = "?","Risk Undetermined", "No Action Required"))</f>
        <v>Risk Undetermined</v>
      </c>
    </row>
    <row r="14" spans="1:13" x14ac:dyDescent="0.25">
      <c r="D14" s="4" t="str">
        <f>_xlfn.IFNA(ROUND(INDEX(tblProbabilities[Score], MATCH(B14,tblProbabilities[Probability],0)) * INDEX(tblImpacts[Score], MATCH(C14,tblImpacts[Impact],0)),2),"?")</f>
        <v>?</v>
      </c>
      <c r="E14" t="str">
        <f>_xlfn.IFNA(INDEX(tblActions[Action Required], MATCH(D14,tblActions[Score],0)),IF(D14 = "?","Risk Undetermined", "No Action Required"))</f>
        <v>Risk Undetermined</v>
      </c>
    </row>
    <row r="15" spans="1:13" x14ac:dyDescent="0.25">
      <c r="D15" s="4" t="str">
        <f>_xlfn.IFNA(ROUND(INDEX(tblProbabilities[Score], MATCH(B15,tblProbabilities[Probability],0)) * INDEX(tblImpacts[Score], MATCH(C15,tblImpacts[Impact],0)),2),"?")</f>
        <v>?</v>
      </c>
      <c r="E15" t="str">
        <f>_xlfn.IFNA(INDEX(tblActions[Action Required], MATCH(D15,tblActions[Score],0)),IF(D15 = "?","Risk Undetermined", "No Action Required"))</f>
        <v>Risk Undetermined</v>
      </c>
    </row>
    <row r="16" spans="1:13" x14ac:dyDescent="0.25">
      <c r="D16" s="4" t="str">
        <f>_xlfn.IFNA(ROUND(INDEX(tblProbabilities[Score], MATCH(B16,tblProbabilities[Probability],0)) * INDEX(tblImpacts[Score], MATCH(C16,tblImpacts[Impact],0)),2),"?")</f>
        <v>?</v>
      </c>
      <c r="E16" t="str">
        <f>_xlfn.IFNA(INDEX(tblActions[Action Required], MATCH(D16,tblActions[Score],0)),IF(D16 = "?","Risk Undetermined", "No Action Required"))</f>
        <v>Risk Undetermined</v>
      </c>
    </row>
    <row r="17" spans="4:5" x14ac:dyDescent="0.25">
      <c r="D17" s="4" t="str">
        <f>_xlfn.IFNA(ROUND(INDEX(tblProbabilities[Score], MATCH(B17,tblProbabilities[Probability],0)) * INDEX(tblImpacts[Score], MATCH(C17,tblImpacts[Impact],0)),2),"?")</f>
        <v>?</v>
      </c>
      <c r="E17" t="str">
        <f>_xlfn.IFNA(INDEX(tblActions[Action Required], MATCH(D17,tblActions[Score],0)),IF(D17 = "?","Risk Undetermined", "No Action Required"))</f>
        <v>Risk Undetermined</v>
      </c>
    </row>
    <row r="18" spans="4:5" x14ac:dyDescent="0.25">
      <c r="D18" s="4" t="str">
        <f>_xlfn.IFNA(ROUND(INDEX(tblProbabilities[Score], MATCH(B18,tblProbabilities[Probability],0)) * INDEX(tblImpacts[Score], MATCH(C18,tblImpacts[Impact],0)),2),"?")</f>
        <v>?</v>
      </c>
      <c r="E18" t="str">
        <f>_xlfn.IFNA(INDEX(tblActions[Action Required], MATCH(D18,tblActions[Score],0)),IF(D18 = "?","Risk Undetermined", "No Action Required"))</f>
        <v>Risk Undetermined</v>
      </c>
    </row>
    <row r="19" spans="4:5" x14ac:dyDescent="0.25">
      <c r="D19" s="4" t="str">
        <f>_xlfn.IFNA(ROUND(INDEX(tblProbabilities[Score], MATCH(B19,tblProbabilities[Probability],0)) * INDEX(tblImpacts[Score], MATCH(C19,tblImpacts[Impact],0)),2),"?")</f>
        <v>?</v>
      </c>
      <c r="E19" t="str">
        <f>_xlfn.IFNA(INDEX(tblActions[Action Required], MATCH(D19,tblActions[Score],0)),IF(D19 = "?","Risk Undetermined", "No Action Required"))</f>
        <v>Risk Undetermined</v>
      </c>
    </row>
    <row r="20" spans="4:5" x14ac:dyDescent="0.25">
      <c r="D20" s="4" t="str">
        <f>_xlfn.IFNA(ROUND(INDEX(tblProbabilities[Score], MATCH(B20,tblProbabilities[Probability],0)) * INDEX(tblImpacts[Score], MATCH(C20,tblImpacts[Impact],0)),2),"?")</f>
        <v>?</v>
      </c>
      <c r="E20" t="str">
        <f>_xlfn.IFNA(INDEX(tblActions[Action Required], MATCH(D20,tblActions[Score],0)),IF(D20 = "?","Risk Undetermined", "No Action Required"))</f>
        <v>Risk Undetermined</v>
      </c>
    </row>
    <row r="21" spans="4:5" x14ac:dyDescent="0.25">
      <c r="D21" s="4" t="str">
        <f>_xlfn.IFNA(ROUND(INDEX(tblProbabilities[Score], MATCH(B21,tblProbabilities[Probability],0)) * INDEX(tblImpacts[Score], MATCH(C21,tblImpacts[Impact],0)),2),"?")</f>
        <v>?</v>
      </c>
      <c r="E21" t="str">
        <f>_xlfn.IFNA(INDEX(tblActions[Action Required], MATCH(D21,tblActions[Score],0)),IF(D21 = "?","Risk Undetermined", "No Action Required"))</f>
        <v>Risk Undetermined</v>
      </c>
    </row>
    <row r="22" spans="4:5" x14ac:dyDescent="0.25">
      <c r="D22" s="4" t="str">
        <f>_xlfn.IFNA(ROUND(INDEX(tblProbabilities[Score], MATCH(B22,tblProbabilities[Probability],0)) * INDEX(tblImpacts[Score], MATCH(C22,tblImpacts[Impact],0)),2),"?")</f>
        <v>?</v>
      </c>
      <c r="E22" t="str">
        <f>_xlfn.IFNA(INDEX(tblActions[Action Required], MATCH(D22,tblActions[Score],0)),IF(D22 = "?","Risk Undetermined", "No Action Required"))</f>
        <v>Risk Undetermined</v>
      </c>
    </row>
    <row r="23" spans="4:5" x14ac:dyDescent="0.25">
      <c r="D23" s="4" t="str">
        <f>_xlfn.IFNA(ROUND(INDEX(tblProbabilities[Score], MATCH(B23,tblProbabilities[Probability],0)) * INDEX(tblImpacts[Score], MATCH(C23,tblImpacts[Impact],0)),2),"?")</f>
        <v>?</v>
      </c>
      <c r="E23" t="str">
        <f>_xlfn.IFNA(INDEX(tblActions[Action Required], MATCH(D23,tblActions[Score],0)),IF(D23 = "?","Risk Undetermined", "No Action Required"))</f>
        <v>Risk Undetermined</v>
      </c>
    </row>
    <row r="24" spans="4:5" x14ac:dyDescent="0.25">
      <c r="D24" s="4" t="str">
        <f>_xlfn.IFNA(ROUND(INDEX(tblProbabilities[Score], MATCH(B24,tblProbabilities[Probability],0)) * INDEX(tblImpacts[Score], MATCH(C24,tblImpacts[Impact],0)),2),"?")</f>
        <v>?</v>
      </c>
      <c r="E24" t="str">
        <f>_xlfn.IFNA(INDEX(tblActions[Action Required], MATCH(D24,tblActions[Score],0)),IF(D24 = "?","Risk Undetermined", "No Action Required"))</f>
        <v>Risk Undetermined</v>
      </c>
    </row>
    <row r="25" spans="4:5" x14ac:dyDescent="0.25">
      <c r="D25" s="4" t="str">
        <f>_xlfn.IFNA(ROUND(INDEX(tblProbabilities[Score], MATCH(B25,tblProbabilities[Probability],0)) * INDEX(tblImpacts[Score], MATCH(C25,tblImpacts[Impact],0)),2),"?")</f>
        <v>?</v>
      </c>
      <c r="E25" t="str">
        <f>_xlfn.IFNA(INDEX(tblActions[Action Required], MATCH(D25,tblActions[Score],0)),IF(D25 = "?","Risk Undetermined", "No Action Required"))</f>
        <v>Risk Undetermined</v>
      </c>
    </row>
    <row r="26" spans="4:5" x14ac:dyDescent="0.25">
      <c r="D26" s="4" t="str">
        <f>_xlfn.IFNA(ROUND(INDEX(tblProbabilities[Score], MATCH(B26,tblProbabilities[Probability],0)) * INDEX(tblImpacts[Score], MATCH(C26,tblImpacts[Impact],0)),2),"?")</f>
        <v>?</v>
      </c>
      <c r="E26" t="str">
        <f>_xlfn.IFNA(INDEX(tblActions[Action Required], MATCH(D26,tblActions[Score],0)),IF(D26 = "?","Risk Undetermined", "No Action Required"))</f>
        <v>Risk Undetermined</v>
      </c>
    </row>
  </sheetData>
  <mergeCells count="4">
    <mergeCell ref="G2:M5"/>
    <mergeCell ref="A1:E1"/>
    <mergeCell ref="G7:M8"/>
    <mergeCell ref="G10:M11"/>
  </mergeCells>
  <conditionalFormatting sqref="D3:D26">
    <cfRule type="cellIs" dxfId="2" priority="3" operator="greaterThan">
      <formula>0</formula>
    </cfRule>
  </conditionalFormatting>
  <dataValidations count="2">
    <dataValidation type="list" allowBlank="1" showInputMessage="1" showErrorMessage="1" sqref="B3:B26">
      <formula1>Probabilities</formula1>
    </dataValidation>
    <dataValidation type="list" allowBlank="1" showInputMessage="1" showErrorMessage="1" sqref="C3:C26">
      <formula1>Impacts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0605462D-4ACF-4B3A-B47F-858BEDCF4815}">
            <xm:f>Settings!$L$5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" operator="greaterThan" id="{81C59BED-6026-4AC8-B183-9A71E4588192}">
            <xm:f>Settings!$N$5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D3:D26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8"/>
  <sheetViews>
    <sheetView workbookViewId="0">
      <selection activeCell="T13" sqref="T13"/>
    </sheetView>
  </sheetViews>
  <sheetFormatPr defaultRowHeight="15" x14ac:dyDescent="0.25"/>
  <cols>
    <col min="1" max="1" width="16.85546875" bestFit="1" customWidth="1"/>
    <col min="2" max="2" width="8.140625" bestFit="1" customWidth="1"/>
    <col min="3" max="3" width="9.7109375" bestFit="1" customWidth="1"/>
    <col min="4" max="4" width="12.28515625" bestFit="1" customWidth="1"/>
    <col min="5" max="5" width="8.140625" bestFit="1" customWidth="1"/>
    <col min="7" max="7" width="8.140625" bestFit="1" customWidth="1"/>
    <col min="8" max="8" width="53" bestFit="1" customWidth="1"/>
    <col min="9" max="9" width="12.85546875" customWidth="1"/>
    <col min="10" max="10" width="14.28515625" bestFit="1" customWidth="1"/>
    <col min="11" max="11" width="4" bestFit="1" customWidth="1"/>
    <col min="13" max="13" width="8.7109375" customWidth="1"/>
    <col min="14" max="14" width="9.85546875" bestFit="1" customWidth="1"/>
    <col min="15" max="15" width="6.28515625" bestFit="1" customWidth="1"/>
    <col min="16" max="16" width="7.140625" bestFit="1" customWidth="1"/>
  </cols>
  <sheetData>
    <row r="1" spans="1:16" ht="23.25" x14ac:dyDescent="0.35">
      <c r="A1" s="7" t="s">
        <v>4</v>
      </c>
      <c r="B1" s="7"/>
      <c r="D1" s="7" t="s">
        <v>5</v>
      </c>
      <c r="E1" s="7"/>
      <c r="G1" s="9" t="s">
        <v>33</v>
      </c>
      <c r="H1" s="9"/>
      <c r="J1" s="7" t="s">
        <v>32</v>
      </c>
      <c r="K1" s="7"/>
      <c r="L1" s="7"/>
      <c r="M1" s="7"/>
      <c r="N1" s="7"/>
      <c r="O1" s="7"/>
      <c r="P1" s="7"/>
    </row>
    <row r="2" spans="1:16" x14ac:dyDescent="0.25">
      <c r="A2" t="s">
        <v>1</v>
      </c>
      <c r="B2" t="s">
        <v>16</v>
      </c>
      <c r="D2" t="s">
        <v>2</v>
      </c>
      <c r="E2" t="s">
        <v>16</v>
      </c>
      <c r="G2" t="s">
        <v>16</v>
      </c>
      <c r="H2" s="5" t="s">
        <v>17</v>
      </c>
      <c r="L2" s="3" t="s">
        <v>15</v>
      </c>
      <c r="M2" s="3" t="s">
        <v>14</v>
      </c>
      <c r="N2" s="3" t="s">
        <v>13</v>
      </c>
      <c r="O2" s="3" t="s">
        <v>12</v>
      </c>
      <c r="P2" s="3" t="s">
        <v>11</v>
      </c>
    </row>
    <row r="3" spans="1:16" x14ac:dyDescent="0.25">
      <c r="A3" s="6" t="s">
        <v>21</v>
      </c>
      <c r="B3" s="4">
        <v>0.9</v>
      </c>
      <c r="D3" s="6" t="s">
        <v>26</v>
      </c>
      <c r="E3" s="4">
        <v>0.8</v>
      </c>
      <c r="G3">
        <f>N4</f>
        <v>0.18</v>
      </c>
      <c r="H3" s="5" t="s">
        <v>18</v>
      </c>
      <c r="J3" s="2"/>
      <c r="L3" s="25">
        <f>INDEX(tblImpacts[], 5, 2)</f>
        <v>0.05</v>
      </c>
      <c r="M3" s="25">
        <f>INDEX(tblImpacts[], 4, 2)</f>
        <v>0.1</v>
      </c>
      <c r="N3" s="25">
        <f>INDEX(tblImpacts[], 3, 2)</f>
        <v>0.2</v>
      </c>
      <c r="O3" s="25">
        <f>INDEX(tblImpacts[], 2, 2)</f>
        <v>0.4</v>
      </c>
      <c r="P3" s="25">
        <f>INDEX(tblImpacts[], 1, 2)</f>
        <v>0.8</v>
      </c>
    </row>
    <row r="4" spans="1:16" x14ac:dyDescent="0.25">
      <c r="A4" s="6" t="s">
        <v>22</v>
      </c>
      <c r="B4" s="4">
        <v>0.7</v>
      </c>
      <c r="D4" s="6" t="s">
        <v>27</v>
      </c>
      <c r="E4" s="4">
        <v>0.4</v>
      </c>
      <c r="G4">
        <f>O4</f>
        <v>0.36</v>
      </c>
      <c r="H4" s="5" t="s">
        <v>18</v>
      </c>
      <c r="J4" s="8" t="s">
        <v>6</v>
      </c>
      <c r="K4" s="26">
        <f>INDEX(tblProbabilities[],1,2)</f>
        <v>0.9</v>
      </c>
      <c r="L4" s="1">
        <f>ROUND($K4*L$3,2)</f>
        <v>0.05</v>
      </c>
      <c r="M4" s="1">
        <f>ROUND($K4*M$3,2)</f>
        <v>0.09</v>
      </c>
      <c r="N4" s="1">
        <f>ROUND($K4*N$3,2)</f>
        <v>0.18</v>
      </c>
      <c r="O4" s="1">
        <f>ROUND($K4*O$3,2)</f>
        <v>0.36</v>
      </c>
      <c r="P4" s="1">
        <f>ROUND($K4*P$3,2)</f>
        <v>0.72</v>
      </c>
    </row>
    <row r="5" spans="1:16" x14ac:dyDescent="0.25">
      <c r="A5" s="6" t="s">
        <v>23</v>
      </c>
      <c r="B5" s="4">
        <v>0.5</v>
      </c>
      <c r="D5" s="6" t="s">
        <v>28</v>
      </c>
      <c r="E5" s="4">
        <v>0.2</v>
      </c>
      <c r="G5">
        <f>P4</f>
        <v>0.72</v>
      </c>
      <c r="H5" s="5" t="s">
        <v>18</v>
      </c>
      <c r="J5" s="8" t="s">
        <v>7</v>
      </c>
      <c r="K5" s="26">
        <f>INDEX(tblProbabilities[],2,2)</f>
        <v>0.7</v>
      </c>
      <c r="L5" s="1">
        <f>ROUND($K5*L$3,2)</f>
        <v>0.04</v>
      </c>
      <c r="M5" s="1">
        <f>ROUND($K5*M$3,2)</f>
        <v>7.0000000000000007E-2</v>
      </c>
      <c r="N5" s="1">
        <f>ROUND($K5*N$3,2)</f>
        <v>0.14000000000000001</v>
      </c>
      <c r="O5" s="1">
        <f>ROUND($K5*O$3,2)</f>
        <v>0.28000000000000003</v>
      </c>
      <c r="P5" s="1">
        <f>ROUND($K5*P$3,2)</f>
        <v>0.56000000000000005</v>
      </c>
    </row>
    <row r="6" spans="1:16" x14ac:dyDescent="0.25">
      <c r="A6" s="6" t="s">
        <v>24</v>
      </c>
      <c r="B6" s="4">
        <v>0.3</v>
      </c>
      <c r="D6" s="6" t="s">
        <v>29</v>
      </c>
      <c r="E6" s="4">
        <v>0.1</v>
      </c>
      <c r="G6">
        <v>0.28000000000000003</v>
      </c>
      <c r="H6" s="5" t="s">
        <v>19</v>
      </c>
      <c r="J6" s="8" t="s">
        <v>8</v>
      </c>
      <c r="K6" s="26">
        <f>INDEX(tblProbabilities[],3,2)</f>
        <v>0.5</v>
      </c>
      <c r="L6" s="1">
        <f>ROUND($K6*L$3,2)</f>
        <v>0.03</v>
      </c>
      <c r="M6" s="1">
        <f>ROUND($K6*M$3,2)</f>
        <v>0.05</v>
      </c>
      <c r="N6" s="1">
        <f>ROUND($K6*N$3,2)</f>
        <v>0.1</v>
      </c>
      <c r="O6" s="1">
        <f>ROUND($K6*O$3,2)</f>
        <v>0.2</v>
      </c>
      <c r="P6" s="1">
        <f>ROUND($K6*P$3,2)</f>
        <v>0.4</v>
      </c>
    </row>
    <row r="7" spans="1:16" x14ac:dyDescent="0.25">
      <c r="A7" s="6" t="s">
        <v>25</v>
      </c>
      <c r="B7" s="4">
        <v>0.1</v>
      </c>
      <c r="D7" s="6" t="s">
        <v>30</v>
      </c>
      <c r="E7" s="4">
        <v>0.05</v>
      </c>
      <c r="G7">
        <f>O5</f>
        <v>0.28000000000000003</v>
      </c>
      <c r="H7" s="5" t="s">
        <v>19</v>
      </c>
      <c r="J7" s="8" t="s">
        <v>9</v>
      </c>
      <c r="K7" s="26">
        <f>INDEX(tblProbabilities[],4,2)</f>
        <v>0.3</v>
      </c>
      <c r="L7" s="1">
        <f>ROUND($K7*L$3,2)</f>
        <v>0.02</v>
      </c>
      <c r="M7" s="1">
        <f>ROUND($K7*M$3,2)</f>
        <v>0.03</v>
      </c>
      <c r="N7" s="1">
        <f>ROUND($K7*N$3,2)</f>
        <v>0.06</v>
      </c>
      <c r="O7" s="1">
        <f>ROUND($K7*O$3,2)</f>
        <v>0.12</v>
      </c>
      <c r="P7" s="1">
        <f>ROUND($K7*P$3,2)</f>
        <v>0.24</v>
      </c>
    </row>
    <row r="8" spans="1:16" x14ac:dyDescent="0.25">
      <c r="G8">
        <f>P5</f>
        <v>0.56000000000000005</v>
      </c>
      <c r="H8" s="5" t="s">
        <v>19</v>
      </c>
      <c r="J8" s="8" t="s">
        <v>10</v>
      </c>
      <c r="K8" s="26">
        <f>INDEX(tblProbabilities[],5,2)</f>
        <v>0.1</v>
      </c>
      <c r="L8" s="1">
        <f>ROUND($K8*L$3,2)</f>
        <v>0.01</v>
      </c>
      <c r="M8" s="1">
        <f>ROUND($K8*M$3,2)</f>
        <v>0.01</v>
      </c>
      <c r="N8" s="1">
        <f>ROUND($K8*N$3,2)</f>
        <v>0.02</v>
      </c>
      <c r="O8" s="1">
        <f>ROUND($K8*O$3,2)</f>
        <v>0.04</v>
      </c>
      <c r="P8" s="1">
        <f>ROUND($K8*P$3,2)</f>
        <v>0.08</v>
      </c>
    </row>
    <row r="9" spans="1:16" x14ac:dyDescent="0.25">
      <c r="G9">
        <f>O6</f>
        <v>0.2</v>
      </c>
      <c r="H9" s="5" t="s">
        <v>19</v>
      </c>
    </row>
    <row r="10" spans="1:16" x14ac:dyDescent="0.25">
      <c r="G10">
        <f>P6</f>
        <v>0.4</v>
      </c>
      <c r="H10" s="5" t="s">
        <v>19</v>
      </c>
    </row>
    <row r="11" spans="1:16" x14ac:dyDescent="0.25">
      <c r="C11" s="5"/>
      <c r="D11" s="5"/>
      <c r="E11" s="5"/>
      <c r="F11" s="5"/>
      <c r="G11" s="5">
        <f>P7</f>
        <v>0.24</v>
      </c>
      <c r="H11" s="5" t="s">
        <v>19</v>
      </c>
    </row>
    <row r="12" spans="1:16" x14ac:dyDescent="0.25">
      <c r="C12" s="5"/>
      <c r="D12" s="5"/>
      <c r="E12" s="5"/>
      <c r="F12" s="5"/>
      <c r="G12" s="5">
        <f>L4</f>
        <v>0.05</v>
      </c>
      <c r="H12" s="5" t="s">
        <v>38</v>
      </c>
    </row>
    <row r="13" spans="1:16" x14ac:dyDescent="0.25">
      <c r="C13" s="5"/>
      <c r="D13" s="5"/>
      <c r="E13" s="5"/>
      <c r="F13" s="5"/>
      <c r="G13" s="5">
        <f>M4</f>
        <v>0.09</v>
      </c>
      <c r="H13" s="5" t="s">
        <v>38</v>
      </c>
    </row>
    <row r="14" spans="1:16" x14ac:dyDescent="0.25">
      <c r="C14" s="5"/>
      <c r="D14" s="5"/>
      <c r="E14" s="5"/>
      <c r="F14" s="5"/>
      <c r="G14" s="5">
        <f>M5</f>
        <v>7.0000000000000007E-2</v>
      </c>
      <c r="H14" s="5" t="s">
        <v>38</v>
      </c>
    </row>
    <row r="15" spans="1:16" x14ac:dyDescent="0.25">
      <c r="C15" s="5"/>
      <c r="D15" s="5"/>
      <c r="E15" s="5"/>
      <c r="F15" s="5"/>
      <c r="G15" s="5">
        <f>M6</f>
        <v>0.05</v>
      </c>
      <c r="H15" s="5" t="s">
        <v>38</v>
      </c>
    </row>
    <row r="16" spans="1:16" x14ac:dyDescent="0.25">
      <c r="C16" s="5"/>
      <c r="D16" s="5"/>
      <c r="E16" s="5"/>
      <c r="F16" s="5"/>
      <c r="G16" s="5">
        <f>N5</f>
        <v>0.14000000000000001</v>
      </c>
      <c r="H16" s="5" t="s">
        <v>38</v>
      </c>
    </row>
    <row r="17" spans="3:8" x14ac:dyDescent="0.25">
      <c r="C17" s="5"/>
      <c r="D17" s="5"/>
      <c r="E17" s="5"/>
      <c r="F17" s="5"/>
      <c r="G17" s="5">
        <f>N6</f>
        <v>0.1</v>
      </c>
      <c r="H17" s="5" t="s">
        <v>38</v>
      </c>
    </row>
    <row r="18" spans="3:8" x14ac:dyDescent="0.25">
      <c r="C18" s="5"/>
      <c r="D18" s="5"/>
      <c r="E18" s="5"/>
      <c r="F18" s="5"/>
      <c r="G18" s="5">
        <f>N7</f>
        <v>0.06</v>
      </c>
      <c r="H18" s="5" t="s">
        <v>38</v>
      </c>
    </row>
    <row r="19" spans="3:8" x14ac:dyDescent="0.25">
      <c r="C19" s="5"/>
      <c r="D19" s="5"/>
      <c r="E19" s="5"/>
      <c r="F19" s="5"/>
      <c r="G19" s="5">
        <f>O7</f>
        <v>0.12</v>
      </c>
      <c r="H19" s="5" t="s">
        <v>38</v>
      </c>
    </row>
    <row r="20" spans="3:8" x14ac:dyDescent="0.25">
      <c r="G20" s="5">
        <f>P8</f>
        <v>0.08</v>
      </c>
      <c r="H20" s="5" t="s">
        <v>38</v>
      </c>
    </row>
    <row r="21" spans="3:8" x14ac:dyDescent="0.25">
      <c r="G21" s="5">
        <f>L5</f>
        <v>0.04</v>
      </c>
      <c r="H21" s="5" t="s">
        <v>37</v>
      </c>
    </row>
    <row r="22" spans="3:8" x14ac:dyDescent="0.25">
      <c r="G22" s="5">
        <f>L6</f>
        <v>0.03</v>
      </c>
      <c r="H22" s="5" t="s">
        <v>37</v>
      </c>
    </row>
    <row r="23" spans="3:8" x14ac:dyDescent="0.25">
      <c r="G23">
        <f>L7</f>
        <v>0.02</v>
      </c>
      <c r="H23" s="5" t="s">
        <v>37</v>
      </c>
    </row>
    <row r="24" spans="3:8" x14ac:dyDescent="0.25">
      <c r="G24">
        <f>L8</f>
        <v>0.01</v>
      </c>
      <c r="H24" s="5" t="s">
        <v>37</v>
      </c>
    </row>
    <row r="25" spans="3:8" x14ac:dyDescent="0.25">
      <c r="G25">
        <f>M7</f>
        <v>0.03</v>
      </c>
      <c r="H25" s="5" t="s">
        <v>37</v>
      </c>
    </row>
    <row r="26" spans="3:8" x14ac:dyDescent="0.25">
      <c r="D26" s="4"/>
      <c r="G26">
        <f>M8</f>
        <v>0.01</v>
      </c>
      <c r="H26" s="5" t="s">
        <v>37</v>
      </c>
    </row>
    <row r="27" spans="3:8" x14ac:dyDescent="0.25">
      <c r="G27">
        <f>N8</f>
        <v>0.02</v>
      </c>
      <c r="H27" s="5" t="s">
        <v>37</v>
      </c>
    </row>
    <row r="28" spans="3:8" x14ac:dyDescent="0.25">
      <c r="G28">
        <f>O8</f>
        <v>0.04</v>
      </c>
      <c r="H28" s="5" t="s">
        <v>37</v>
      </c>
    </row>
  </sheetData>
  <mergeCells count="4">
    <mergeCell ref="J1:P1"/>
    <mergeCell ref="G1:H1"/>
    <mergeCell ref="D1:E1"/>
    <mergeCell ref="A1:B1"/>
  </mergeCells>
  <conditionalFormatting sqref="L4:P8">
    <cfRule type="cellIs" dxfId="17" priority="4" stopIfTrue="1" operator="greaterThan">
      <formula>$N$5</formula>
    </cfRule>
    <cfRule type="cellIs" dxfId="16" priority="5" stopIfTrue="1" operator="greaterThan">
      <formula>$L$5</formula>
    </cfRule>
    <cfRule type="cellIs" dxfId="15" priority="6" operator="greaterThan">
      <formula>0</formula>
    </cfRule>
  </conditionalFormatting>
  <conditionalFormatting sqref="G3:G28">
    <cfRule type="cellIs" dxfId="7" priority="3" operator="greaterThan">
      <formula>0</formula>
    </cfRule>
    <cfRule type="cellIs" dxfId="8" priority="2" operator="greaterThan">
      <formula>$L$5</formula>
    </cfRule>
    <cfRule type="cellIs" dxfId="9" priority="1" operator="greaterThan">
      <formula>$N$5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Calculations</vt:lpstr>
      <vt:lpstr>Settings</vt:lpstr>
      <vt:lpstr>Impacts</vt:lpstr>
      <vt:lpstr>Probabilities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Killeen</dc:creator>
  <cp:lastModifiedBy>Sean Killeen</cp:lastModifiedBy>
  <dcterms:created xsi:type="dcterms:W3CDTF">2015-01-13T13:18:59Z</dcterms:created>
  <dcterms:modified xsi:type="dcterms:W3CDTF">2015-01-13T14:56:37Z</dcterms:modified>
</cp:coreProperties>
</file>